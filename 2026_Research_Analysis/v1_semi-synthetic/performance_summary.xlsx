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SU CSC807 Research Design\6 Analysis\"/>
    </mc:Choice>
  </mc:AlternateContent>
  <xr:revisionPtr revIDLastSave="0" documentId="13_ncr:1_{D726E456-63C4-44C6-A45F-83630E7EE7E4}" xr6:coauthVersionLast="47" xr6:coauthVersionMax="47" xr10:uidLastSave="{00000000-0000-0000-0000-000000000000}"/>
  <bookViews>
    <workbookView xWindow="15195" yWindow="8025" windowWidth="33465" windowHeight="11730" xr2:uid="{B0884109-4F2F-42E8-929C-EB17950FD1FF}"/>
  </bookViews>
  <sheets>
    <sheet name="Shannon" sheetId="2" r:id="rId1"/>
    <sheet name="Exp0se_2015" sheetId="3" r:id="rId2"/>
    <sheet name="Mia_2018" sheetId="5" r:id="rId3"/>
    <sheet name="DGAD_2022 (Partial-Word)" sheetId="6" r:id="rId4"/>
    <sheet name="DGAD_2022 (Overall-Domain)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4" l="1"/>
  <c r="L8" i="4"/>
  <c r="L7" i="4"/>
  <c r="L6" i="4"/>
  <c r="L5" i="4"/>
  <c r="L4" i="4"/>
  <c r="L3" i="4"/>
  <c r="L2" i="4"/>
  <c r="L9" i="6"/>
  <c r="L8" i="6"/>
  <c r="L7" i="6"/>
  <c r="L6" i="6"/>
  <c r="L5" i="6"/>
  <c r="L4" i="6"/>
  <c r="L3" i="6"/>
  <c r="L2" i="6"/>
  <c r="N9" i="5"/>
  <c r="L9" i="5"/>
  <c r="L8" i="5"/>
  <c r="L7" i="5"/>
  <c r="L6" i="5"/>
  <c r="L5" i="5"/>
  <c r="L4" i="5"/>
  <c r="L3" i="5"/>
  <c r="L2" i="5"/>
  <c r="L9" i="3"/>
  <c r="L8" i="3"/>
  <c r="L7" i="3"/>
  <c r="L6" i="3"/>
  <c r="L5" i="3"/>
  <c r="L4" i="3"/>
  <c r="L3" i="3"/>
  <c r="L2" i="3"/>
  <c r="N2" i="3"/>
  <c r="O2" i="2"/>
  <c r="N9" i="2"/>
  <c r="N2" i="2"/>
  <c r="N3" i="2"/>
  <c r="N4" i="2"/>
  <c r="N5" i="2"/>
  <c r="N8" i="2"/>
  <c r="N7" i="2"/>
  <c r="N6" i="2"/>
  <c r="N9" i="4"/>
  <c r="N8" i="4"/>
  <c r="N7" i="4"/>
  <c r="N6" i="4"/>
  <c r="N5" i="4"/>
  <c r="N4" i="4"/>
  <c r="N3" i="4"/>
  <c r="N2" i="4"/>
  <c r="N9" i="6"/>
  <c r="N8" i="6"/>
  <c r="N7" i="6"/>
  <c r="N6" i="6"/>
  <c r="N5" i="6"/>
  <c r="N4" i="6"/>
  <c r="N3" i="6"/>
  <c r="N2" i="6"/>
  <c r="N8" i="5"/>
  <c r="N7" i="5"/>
  <c r="N6" i="5"/>
  <c r="N5" i="5"/>
  <c r="N4" i="5"/>
  <c r="N3" i="5"/>
  <c r="N2" i="5"/>
  <c r="N9" i="3"/>
  <c r="N8" i="3"/>
  <c r="N7" i="3"/>
  <c r="N6" i="3"/>
  <c r="N5" i="3"/>
  <c r="N4" i="3"/>
  <c r="N3" i="3"/>
  <c r="P9" i="2"/>
  <c r="P7" i="2"/>
  <c r="P6" i="2"/>
  <c r="P5" i="2"/>
  <c r="P4" i="2"/>
  <c r="P3" i="2"/>
  <c r="P2" i="2"/>
  <c r="K9" i="2"/>
  <c r="O9" i="2" s="1"/>
  <c r="K8" i="2"/>
  <c r="K7" i="2"/>
  <c r="O7" i="2" s="1"/>
  <c r="K6" i="2"/>
  <c r="O6" i="2" s="1"/>
  <c r="K5" i="2"/>
  <c r="O5" i="2" s="1"/>
  <c r="K4" i="2"/>
  <c r="O4" i="2" s="1"/>
  <c r="K3" i="2"/>
  <c r="O3" i="2" s="1"/>
  <c r="K2" i="2"/>
  <c r="P8" i="2"/>
  <c r="O8" i="2"/>
  <c r="M7" i="4"/>
  <c r="M6" i="4"/>
  <c r="M5" i="4"/>
  <c r="M4" i="4"/>
  <c r="I9" i="6"/>
  <c r="M9" i="6" s="1"/>
  <c r="I8" i="6"/>
  <c r="M8" i="6" s="1"/>
  <c r="I7" i="6"/>
  <c r="M7" i="6" s="1"/>
  <c r="I6" i="6"/>
  <c r="M6" i="6" s="1"/>
  <c r="I5" i="6"/>
  <c r="M5" i="6" s="1"/>
  <c r="I4" i="6"/>
  <c r="M4" i="6" s="1"/>
  <c r="I3" i="6"/>
  <c r="M3" i="6" s="1"/>
  <c r="I2" i="6"/>
  <c r="M2" i="6" s="1"/>
  <c r="I2" i="3"/>
  <c r="M2" i="3" s="1"/>
  <c r="I9" i="4"/>
  <c r="M9" i="4" s="1"/>
  <c r="I8" i="4"/>
  <c r="M8" i="4" s="1"/>
  <c r="I7" i="4"/>
  <c r="I6" i="4"/>
  <c r="I5" i="4"/>
  <c r="I4" i="4"/>
  <c r="I3" i="4"/>
  <c r="M3" i="4" s="1"/>
  <c r="I2" i="4"/>
  <c r="M2" i="4" s="1"/>
  <c r="I9" i="3"/>
  <c r="M9" i="3" s="1"/>
  <c r="I8" i="3"/>
  <c r="M8" i="3" s="1"/>
  <c r="I7" i="3"/>
  <c r="M7" i="3" s="1"/>
  <c r="I6" i="3"/>
  <c r="M6" i="3" s="1"/>
  <c r="I5" i="3"/>
  <c r="M5" i="3" s="1"/>
  <c r="I4" i="3"/>
  <c r="M4" i="3" s="1"/>
  <c r="I3" i="3"/>
  <c r="M3" i="3" s="1"/>
  <c r="I9" i="5"/>
  <c r="M9" i="5" s="1"/>
  <c r="I8" i="5"/>
  <c r="M8" i="5" s="1"/>
  <c r="I7" i="5"/>
  <c r="M7" i="5" s="1"/>
  <c r="I6" i="5"/>
  <c r="M6" i="5" s="1"/>
  <c r="I5" i="5"/>
  <c r="M5" i="5" s="1"/>
  <c r="I4" i="5"/>
  <c r="M4" i="5" s="1"/>
  <c r="I3" i="5"/>
  <c r="M3" i="5" s="1"/>
  <c r="I2" i="5"/>
  <c r="M2" i="5" s="1"/>
</calcChain>
</file>

<file path=xl/sharedStrings.xml><?xml version="1.0" encoding="utf-8"?>
<sst xmlns="http://schemas.openxmlformats.org/spreadsheetml/2006/main" count="284" uniqueCount="75">
  <si>
    <t>Alexa</t>
  </si>
  <si>
    <t>Group</t>
  </si>
  <si>
    <t>File</t>
  </si>
  <si>
    <t>Year</t>
  </si>
  <si>
    <t>Avg Shannon</t>
  </si>
  <si>
    <t>StdDev Shannon</t>
  </si>
  <si>
    <t>TP</t>
  </si>
  <si>
    <t>TN</t>
  </si>
  <si>
    <t>FP</t>
  </si>
  <si>
    <t>FN</t>
  </si>
  <si>
    <t>TOTAL</t>
  </si>
  <si>
    <t>Notes</t>
  </si>
  <si>
    <t>Control A</t>
  </si>
  <si>
    <t>Control B</t>
  </si>
  <si>
    <t>Cisco</t>
  </si>
  <si>
    <t>Control C</t>
  </si>
  <si>
    <t>Cloudflare</t>
  </si>
  <si>
    <t>Control D</t>
  </si>
  <si>
    <t>Majestic</t>
  </si>
  <si>
    <t>Experimental A</t>
  </si>
  <si>
    <t>Cats Cradle</t>
  </si>
  <si>
    <t>Missed every single CC domain, longer string yields higher entropy, which skews results. Average domain length is 5-8 characters, for branding. High entropy domains were multi-word</t>
  </si>
  <si>
    <t>Experimental B</t>
  </si>
  <si>
    <t>Double Helix</t>
  </si>
  <si>
    <t>Experimental C</t>
  </si>
  <si>
    <t>Pandoras Box</t>
  </si>
  <si>
    <t>Missed every single PB domain</t>
  </si>
  <si>
    <t>Experimental D</t>
  </si>
  <si>
    <t>Easy Rider</t>
  </si>
  <si>
    <t>Under 10% of hostile domains were captured, longer strings created yielded higher entropy values</t>
  </si>
  <si>
    <t>Detected "evil" as "suspicious"</t>
  </si>
  <si>
    <t>Detected "benign" as "normal"</t>
  </si>
  <si>
    <t>Detected "benign" as "suspicious"</t>
  </si>
  <si>
    <t>Detected "evil" as "normal"</t>
  </si>
  <si>
    <t>Detected "evil" as "is_DGA:TRUE"</t>
  </si>
  <si>
    <t>Detected "benign" as "is_DGA:FALSE"</t>
  </si>
  <si>
    <t>Detected "benign" as "is_DGA:TRUE"</t>
  </si>
  <si>
    <t>Detected "evil" as "is_DGA:FALSE"</t>
  </si>
  <si>
    <t>Detected "evil" as "dga"</t>
  </si>
  <si>
    <t>Detected "benign" as "dga"</t>
  </si>
  <si>
    <t>Detected "benign" as "legit"</t>
  </si>
  <si>
    <t>Detected "evil" as "legit"</t>
  </si>
  <si>
    <t>Detected "evil" as "DGA"</t>
  </si>
  <si>
    <t>Detected "benign" as "DGA"</t>
  </si>
  <si>
    <t>Detected "benign" as "benign"</t>
  </si>
  <si>
    <t>Detected "evil" as "benign"</t>
  </si>
  <si>
    <t>Removed 264 evil duplicates</t>
  </si>
  <si>
    <t>Compare 1st Label vs Tool</t>
  </si>
  <si>
    <t>Compare 1st Label vs Tool (Word Component)</t>
  </si>
  <si>
    <t>Compare 1st Label vs Tool (Overall Domain)</t>
  </si>
  <si>
    <t>Removed 465 evil duplicates</t>
  </si>
  <si>
    <t>16 were removed in future iterations due to DGAD skipping office.net router FQDNs</t>
  </si>
  <si>
    <t>Removed 470 evil duplicates</t>
  </si>
  <si>
    <t>Removed 465 evil duplicates, 1 pre-labeled benign was reported benign by word (typepad porn blog), but DGA overall</t>
  </si>
  <si>
    <t>Removed 207 evil duplicates</t>
  </si>
  <si>
    <t>Removed 207 evil duplicates, 1 pre-labeled benign was reported as benign by word (mosreg RU) but overall DGA</t>
  </si>
  <si>
    <t>Removed 470 evil duplicates, 2 pre-labeled benign were benign by word (wordpress, tmall), but overall DGA</t>
  </si>
  <si>
    <t>Accuracy</t>
  </si>
  <si>
    <t>Recall Ratio</t>
  </si>
  <si>
    <t>Total Positive (DGA)</t>
  </si>
  <si>
    <t>Total Negative (Not)</t>
  </si>
  <si>
    <t>Precision</t>
  </si>
  <si>
    <t>Correct Detection</t>
  </si>
  <si>
    <t>Missed Threat</t>
  </si>
  <si>
    <t>False Alarm</t>
  </si>
  <si>
    <t>Correct Ignore</t>
  </si>
  <si>
    <t>Tactic</t>
  </si>
  <si>
    <t>Web Services</t>
  </si>
  <si>
    <t>Internet Services</t>
  </si>
  <si>
    <t>Global Services</t>
  </si>
  <si>
    <t>UK Services</t>
  </si>
  <si>
    <t>Dictionary Word Concatenation (English)</t>
  </si>
  <si>
    <t>Combo-squatting w/ partial randomized (Typo-squatting)</t>
  </si>
  <si>
    <t>Combo-squatting w/ keywords (Typo-squatting)</t>
  </si>
  <si>
    <t>Randomized Characters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</si>
</sst>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u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FD3CD-73A4-430A-BC86-42CAA6CE6A3A}">
  <dimension ref="A1:Q15"/>
  <sheetViews>
    <sheetView tabSelected="1" workbookViewId="0">
      <selection activeCell="N2" sqref="N2"/>
    </sheetView>
  </sheetViews>
  <sheetFormatPr defaultRowHeight="14.25"/>
  <cols>
    <col min="1" max="1" width="14.5" style="2" bestFit="1" customWidth="1"/>
    <col min="2" max="2" width="28.875" style="2" bestFit="1" customWidth="1"/>
    <col min="3" max="3" width="15.375" style="2" bestFit="1" customWidth="1"/>
    <col min="4" max="4" width="15.375" style="2" customWidth="1"/>
    <col min="5" max="5" width="12.625" style="2" bestFit="1" customWidth="1"/>
    <col min="6" max="6" width="16" style="2" bestFit="1" customWidth="1"/>
    <col min="7" max="11" width="9" style="2"/>
    <col min="12" max="12" width="19.125" style="2" bestFit="1" customWidth="1"/>
    <col min="13" max="13" width="19" style="2" bestFit="1" customWidth="1"/>
    <col min="14" max="14" width="11.875" style="2" bestFit="1" customWidth="1"/>
    <col min="15" max="15" width="9" style="2"/>
    <col min="16" max="16" width="11.875" style="2" bestFit="1" customWidth="1"/>
    <col min="17" max="16384" width="9" style="2"/>
  </cols>
  <sheetData>
    <row r="1" spans="1:17" ht="15">
      <c r="A1" s="1" t="s">
        <v>1</v>
      </c>
      <c r="B1" s="1" t="s">
        <v>2</v>
      </c>
      <c r="C1" s="1" t="s">
        <v>3</v>
      </c>
      <c r="D1" s="1" t="s">
        <v>66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59</v>
      </c>
      <c r="M1" s="1" t="s">
        <v>60</v>
      </c>
      <c r="N1" s="1" t="s">
        <v>61</v>
      </c>
      <c r="O1" s="1" t="s">
        <v>57</v>
      </c>
      <c r="P1" s="1" t="s">
        <v>58</v>
      </c>
      <c r="Q1" s="1" t="s">
        <v>11</v>
      </c>
    </row>
    <row r="2" spans="1:17" ht="15">
      <c r="A2" s="3" t="s">
        <v>12</v>
      </c>
      <c r="B2" s="4" t="s">
        <v>0</v>
      </c>
      <c r="C2" s="2">
        <v>2017</v>
      </c>
      <c r="D2" s="2" t="s">
        <v>67</v>
      </c>
      <c r="E2" s="2">
        <v>1.8877911000000001</v>
      </c>
      <c r="F2" s="2">
        <v>0.93871530000000003</v>
      </c>
      <c r="G2" s="2">
        <v>0</v>
      </c>
      <c r="H2" s="2">
        <v>9613</v>
      </c>
      <c r="I2" s="2">
        <v>387</v>
      </c>
      <c r="J2" s="2">
        <v>0</v>
      </c>
      <c r="K2" s="2">
        <f t="shared" ref="K2:K9" si="0">SUM(G2:J2)</f>
        <v>10000</v>
      </c>
      <c r="L2" s="2">
        <v>0</v>
      </c>
      <c r="M2" s="2">
        <v>10000</v>
      </c>
      <c r="N2" s="2">
        <f>G2/(G2+I2)</f>
        <v>0</v>
      </c>
      <c r="O2" s="2">
        <f>(G2+H2)/(K2)</f>
        <v>0.96130000000000004</v>
      </c>
      <c r="P2" s="2" t="e">
        <f>(G2/(G2+J2))</f>
        <v>#DIV/0!</v>
      </c>
      <c r="Q2" s="5"/>
    </row>
    <row r="3" spans="1:17" ht="15">
      <c r="A3" s="3" t="s">
        <v>13</v>
      </c>
      <c r="B3" s="4" t="s">
        <v>14</v>
      </c>
      <c r="C3" s="2">
        <v>2025</v>
      </c>
      <c r="D3" s="2" t="s">
        <v>68</v>
      </c>
      <c r="E3" s="2">
        <v>1.7144906</v>
      </c>
      <c r="F3" s="2">
        <v>0.78853629999999997</v>
      </c>
      <c r="G3" s="2">
        <v>0</v>
      </c>
      <c r="H3" s="2">
        <v>9576</v>
      </c>
      <c r="I3" s="2">
        <v>424</v>
      </c>
      <c r="J3" s="2">
        <v>0</v>
      </c>
      <c r="K3" s="2">
        <f t="shared" si="0"/>
        <v>10000</v>
      </c>
      <c r="L3" s="2">
        <v>0</v>
      </c>
      <c r="M3" s="2">
        <v>10000</v>
      </c>
      <c r="N3" s="2">
        <f>G3/(G3+I3)</f>
        <v>0</v>
      </c>
      <c r="O3" s="2">
        <f t="shared" ref="O2:O9" si="1">(G3+H3)/(K3)</f>
        <v>0.95760000000000001</v>
      </c>
      <c r="P3" s="2" t="e">
        <f>(G3/(G3+J3))</f>
        <v>#DIV/0!</v>
      </c>
      <c r="Q3" s="5"/>
    </row>
    <row r="4" spans="1:17" ht="15">
      <c r="A4" s="3" t="s">
        <v>15</v>
      </c>
      <c r="B4" s="4" t="s">
        <v>16</v>
      </c>
      <c r="C4" s="2">
        <v>2025</v>
      </c>
      <c r="D4" s="2" t="s">
        <v>69</v>
      </c>
      <c r="E4" s="2">
        <v>1.8207674</v>
      </c>
      <c r="F4" s="2">
        <v>0.92370430000000003</v>
      </c>
      <c r="G4" s="2">
        <v>0</v>
      </c>
      <c r="H4" s="2">
        <v>9604</v>
      </c>
      <c r="I4" s="2">
        <v>396</v>
      </c>
      <c r="J4" s="2">
        <v>0</v>
      </c>
      <c r="K4" s="2">
        <f t="shared" si="0"/>
        <v>10000</v>
      </c>
      <c r="L4" s="2">
        <v>0</v>
      </c>
      <c r="M4" s="2">
        <v>10000</v>
      </c>
      <c r="N4" s="2">
        <f>G4/(G4+I4)</f>
        <v>0</v>
      </c>
      <c r="O4" s="2">
        <f t="shared" si="1"/>
        <v>0.96040000000000003</v>
      </c>
      <c r="P4" s="2" t="e">
        <f>(G4/(G4+J4))</f>
        <v>#DIV/0!</v>
      </c>
      <c r="Q4" s="5"/>
    </row>
    <row r="5" spans="1:17" ht="15">
      <c r="A5" s="3" t="s">
        <v>17</v>
      </c>
      <c r="B5" s="4" t="s">
        <v>18</v>
      </c>
      <c r="C5" s="2">
        <v>2025</v>
      </c>
      <c r="D5" s="2" t="s">
        <v>70</v>
      </c>
      <c r="E5" s="2">
        <v>1.8384048</v>
      </c>
      <c r="F5" s="2">
        <v>1.0555178000000001</v>
      </c>
      <c r="G5" s="2">
        <v>0</v>
      </c>
      <c r="H5" s="2">
        <v>9584</v>
      </c>
      <c r="I5" s="2">
        <v>416</v>
      </c>
      <c r="J5" s="2">
        <v>0</v>
      </c>
      <c r="K5" s="2">
        <f t="shared" si="0"/>
        <v>10000</v>
      </c>
      <c r="L5" s="2">
        <v>0</v>
      </c>
      <c r="M5" s="2">
        <v>10000</v>
      </c>
      <c r="N5" s="2">
        <f>G5/(G5+I5)</f>
        <v>0</v>
      </c>
      <c r="O5" s="2">
        <f t="shared" si="1"/>
        <v>0.95840000000000003</v>
      </c>
      <c r="P5" s="2" t="e">
        <f>(G5/(G5+J5))</f>
        <v>#DIV/0!</v>
      </c>
      <c r="Q5" s="5"/>
    </row>
    <row r="6" spans="1:17" ht="15">
      <c r="A6" s="3" t="s">
        <v>19</v>
      </c>
      <c r="B6" s="4" t="s">
        <v>20</v>
      </c>
      <c r="C6" s="2">
        <v>2022</v>
      </c>
      <c r="D6" s="2" t="s">
        <v>74</v>
      </c>
      <c r="E6" s="2">
        <v>1.5101058000000001</v>
      </c>
      <c r="F6" s="2">
        <v>0.7574862</v>
      </c>
      <c r="G6" s="2">
        <v>0</v>
      </c>
      <c r="H6" s="2">
        <v>4454</v>
      </c>
      <c r="I6" s="2">
        <v>546</v>
      </c>
      <c r="J6" s="2">
        <v>5000</v>
      </c>
      <c r="K6" s="2">
        <f t="shared" si="0"/>
        <v>10000</v>
      </c>
      <c r="L6" s="2">
        <v>5000</v>
      </c>
      <c r="M6" s="2">
        <v>5000</v>
      </c>
      <c r="N6" s="2">
        <f>G6/(G6+I6)</f>
        <v>0</v>
      </c>
      <c r="O6" s="2">
        <f t="shared" si="1"/>
        <v>0.44540000000000002</v>
      </c>
      <c r="P6" s="2">
        <f>(G6/(G6+J6))</f>
        <v>0</v>
      </c>
      <c r="Q6" s="5" t="s">
        <v>21</v>
      </c>
    </row>
    <row r="7" spans="1:17" ht="15">
      <c r="A7" s="3" t="s">
        <v>22</v>
      </c>
      <c r="B7" s="4" t="s">
        <v>23</v>
      </c>
      <c r="C7" s="2">
        <v>2023</v>
      </c>
      <c r="D7" s="2" t="s">
        <v>71</v>
      </c>
      <c r="E7" s="2">
        <v>2.0859703000000001</v>
      </c>
      <c r="F7" s="2">
        <v>0.88674299999999995</v>
      </c>
      <c r="G7" s="2">
        <v>23</v>
      </c>
      <c r="H7" s="2">
        <v>5023</v>
      </c>
      <c r="I7" s="2">
        <v>248</v>
      </c>
      <c r="J7" s="2">
        <v>4706</v>
      </c>
      <c r="K7" s="2">
        <f t="shared" si="0"/>
        <v>10000</v>
      </c>
      <c r="L7" s="2">
        <v>4729</v>
      </c>
      <c r="M7" s="2">
        <v>5271</v>
      </c>
      <c r="N7" s="2">
        <f>G7/(G7+I7)</f>
        <v>8.4870848708487087E-2</v>
      </c>
      <c r="O7" s="2">
        <f t="shared" si="1"/>
        <v>0.50460000000000005</v>
      </c>
      <c r="P7" s="2">
        <f>(G7/(G7+J7))</f>
        <v>4.8636075280186087E-3</v>
      </c>
      <c r="Q7" s="5"/>
    </row>
    <row r="8" spans="1:17" ht="15">
      <c r="A8" s="3" t="s">
        <v>24</v>
      </c>
      <c r="B8" s="4" t="s">
        <v>25</v>
      </c>
      <c r="C8" s="2">
        <v>2024</v>
      </c>
      <c r="D8" s="2" t="s">
        <v>73</v>
      </c>
      <c r="E8" s="2">
        <v>1.9887919999999999</v>
      </c>
      <c r="F8" s="2">
        <v>0.75988500000000003</v>
      </c>
      <c r="G8" s="2">
        <v>0</v>
      </c>
      <c r="H8" s="2">
        <v>4525</v>
      </c>
      <c r="I8" s="2">
        <v>475</v>
      </c>
      <c r="J8" s="2">
        <v>5000</v>
      </c>
      <c r="K8" s="2">
        <f t="shared" si="0"/>
        <v>10000</v>
      </c>
      <c r="L8" s="2">
        <v>5000</v>
      </c>
      <c r="M8" s="2">
        <v>5000</v>
      </c>
      <c r="N8" s="2">
        <f>G8/(G8+I8)</f>
        <v>0</v>
      </c>
      <c r="O8" s="2">
        <f t="shared" si="1"/>
        <v>0.45250000000000001</v>
      </c>
      <c r="P8" s="2">
        <f t="shared" ref="P2:P9" si="2">(G8/(G8+H8))</f>
        <v>0</v>
      </c>
      <c r="Q8" s="5" t="s">
        <v>26</v>
      </c>
    </row>
    <row r="9" spans="1:17" ht="15">
      <c r="A9" s="3" t="s">
        <v>27</v>
      </c>
      <c r="B9" s="4" t="s">
        <v>28</v>
      </c>
      <c r="C9" s="2">
        <v>2025</v>
      </c>
      <c r="D9" s="2" t="s">
        <v>72</v>
      </c>
      <c r="E9" s="2">
        <v>2.0292824</v>
      </c>
      <c r="F9" s="2">
        <v>1.0980052</v>
      </c>
      <c r="G9" s="2">
        <v>439</v>
      </c>
      <c r="H9" s="2">
        <v>4909</v>
      </c>
      <c r="I9" s="2">
        <v>91</v>
      </c>
      <c r="J9" s="2">
        <v>4561</v>
      </c>
      <c r="K9" s="2">
        <f t="shared" si="0"/>
        <v>10000</v>
      </c>
      <c r="L9" s="2">
        <v>5000</v>
      </c>
      <c r="M9" s="2">
        <v>5000</v>
      </c>
      <c r="N9" s="2">
        <f>G9/(G9+I9)</f>
        <v>0.82830188679245287</v>
      </c>
      <c r="O9" s="2">
        <f t="shared" si="1"/>
        <v>0.53480000000000005</v>
      </c>
      <c r="P9" s="2">
        <f>(G9/(G9+J9))</f>
        <v>8.7800000000000003E-2</v>
      </c>
      <c r="Q9" s="5" t="s">
        <v>29</v>
      </c>
    </row>
    <row r="11" spans="1:17" ht="15">
      <c r="B11" s="3" t="s">
        <v>47</v>
      </c>
    </row>
    <row r="12" spans="1:17" ht="15">
      <c r="A12" s="3" t="s">
        <v>6</v>
      </c>
      <c r="B12" s="2" t="s">
        <v>30</v>
      </c>
      <c r="C12" s="2" t="s">
        <v>62</v>
      </c>
    </row>
    <row r="13" spans="1:17" ht="15">
      <c r="A13" s="3" t="s">
        <v>7</v>
      </c>
      <c r="B13" s="2" t="s">
        <v>31</v>
      </c>
      <c r="C13" s="2" t="s">
        <v>65</v>
      </c>
    </row>
    <row r="14" spans="1:17" ht="15">
      <c r="A14" s="3" t="s">
        <v>8</v>
      </c>
      <c r="B14" s="2" t="s">
        <v>32</v>
      </c>
      <c r="C14" s="2" t="s">
        <v>64</v>
      </c>
    </row>
    <row r="15" spans="1:17" ht="15">
      <c r="A15" s="3" t="s">
        <v>9</v>
      </c>
      <c r="B15" s="2" t="s">
        <v>33</v>
      </c>
      <c r="C15" s="2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62FB2-C1D0-4ADE-B1D7-12C634EE2FD9}">
  <dimension ref="A1:O15"/>
  <sheetViews>
    <sheetView workbookViewId="0">
      <selection activeCell="M9" sqref="M9"/>
    </sheetView>
  </sheetViews>
  <sheetFormatPr defaultRowHeight="14.25"/>
  <cols>
    <col min="1" max="1" width="14.5" style="2" bestFit="1" customWidth="1"/>
    <col min="2" max="2" width="29.5" style="2" customWidth="1"/>
    <col min="3" max="3" width="15.375" style="2" bestFit="1" customWidth="1"/>
    <col min="4" max="4" width="15.375" style="2" customWidth="1"/>
    <col min="5" max="11" width="9" style="2"/>
    <col min="12" max="12" width="19" style="2" customWidth="1"/>
    <col min="13" max="13" width="9" style="2"/>
    <col min="14" max="14" width="11.875" style="2" bestFit="1" customWidth="1"/>
    <col min="15" max="15" width="24.5" style="2" bestFit="1" customWidth="1"/>
    <col min="16" max="16384" width="9" style="2"/>
  </cols>
  <sheetData>
    <row r="1" spans="1:15" ht="15">
      <c r="A1" s="1" t="s">
        <v>1</v>
      </c>
      <c r="B1" s="1" t="s">
        <v>2</v>
      </c>
      <c r="C1" s="1" t="s">
        <v>3</v>
      </c>
      <c r="D1" s="1" t="s">
        <v>66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59</v>
      </c>
      <c r="K1" s="1" t="s">
        <v>60</v>
      </c>
      <c r="L1" s="1" t="s">
        <v>61</v>
      </c>
      <c r="M1" s="1" t="s">
        <v>57</v>
      </c>
      <c r="N1" s="1" t="s">
        <v>58</v>
      </c>
      <c r="O1" s="1" t="s">
        <v>11</v>
      </c>
    </row>
    <row r="2" spans="1:15" ht="15">
      <c r="A2" s="3" t="s">
        <v>12</v>
      </c>
      <c r="B2" s="4" t="s">
        <v>0</v>
      </c>
      <c r="C2" s="2">
        <v>2017</v>
      </c>
      <c r="D2" s="2" t="s">
        <v>67</v>
      </c>
      <c r="E2" s="2">
        <v>0</v>
      </c>
      <c r="F2" s="2">
        <v>8926</v>
      </c>
      <c r="G2" s="2">
        <v>1074</v>
      </c>
      <c r="H2" s="2">
        <v>0</v>
      </c>
      <c r="I2" s="2">
        <f t="shared" ref="I2:I9" si="0">SUM(E2:H2)</f>
        <v>10000</v>
      </c>
      <c r="J2" s="2">
        <v>0</v>
      </c>
      <c r="K2" s="2">
        <v>10000</v>
      </c>
      <c r="L2" s="2">
        <f>E2/(E2+G2)</f>
        <v>0</v>
      </c>
      <c r="M2" s="2">
        <f t="shared" ref="M2:M9" si="1">(E2+F2)/(I2)</f>
        <v>0.89259999999999995</v>
      </c>
      <c r="N2" s="2" t="e">
        <f>(E2/(E2+H2))</f>
        <v>#DIV/0!</v>
      </c>
      <c r="O2" s="5"/>
    </row>
    <row r="3" spans="1:15" ht="15">
      <c r="A3" s="3" t="s">
        <v>13</v>
      </c>
      <c r="B3" s="4" t="s">
        <v>14</v>
      </c>
      <c r="C3" s="2">
        <v>2025</v>
      </c>
      <c r="D3" s="2" t="s">
        <v>68</v>
      </c>
      <c r="E3" s="2">
        <v>0</v>
      </c>
      <c r="F3" s="2">
        <v>8200</v>
      </c>
      <c r="G3" s="2">
        <v>1800</v>
      </c>
      <c r="H3" s="2">
        <v>0</v>
      </c>
      <c r="I3" s="2">
        <f t="shared" si="0"/>
        <v>10000</v>
      </c>
      <c r="J3" s="2">
        <v>0</v>
      </c>
      <c r="K3" s="2">
        <v>10000</v>
      </c>
      <c r="L3" s="2">
        <f>E3/(E3+G3)</f>
        <v>0</v>
      </c>
      <c r="M3" s="2">
        <f t="shared" si="1"/>
        <v>0.82</v>
      </c>
      <c r="N3" s="2" t="e">
        <f>(E3/(E3+H3))</f>
        <v>#DIV/0!</v>
      </c>
      <c r="O3" s="5"/>
    </row>
    <row r="4" spans="1:15" ht="15">
      <c r="A4" s="3" t="s">
        <v>15</v>
      </c>
      <c r="B4" s="4" t="s">
        <v>16</v>
      </c>
      <c r="C4" s="2">
        <v>2025</v>
      </c>
      <c r="D4" s="2" t="s">
        <v>69</v>
      </c>
      <c r="E4" s="2">
        <v>0</v>
      </c>
      <c r="F4" s="2">
        <v>8368</v>
      </c>
      <c r="G4" s="2">
        <v>1632</v>
      </c>
      <c r="H4" s="2">
        <v>0</v>
      </c>
      <c r="I4" s="2">
        <f t="shared" si="0"/>
        <v>10000</v>
      </c>
      <c r="J4" s="2">
        <v>0</v>
      </c>
      <c r="K4" s="2">
        <v>10000</v>
      </c>
      <c r="L4" s="2">
        <f>E4/(E4+G4)</f>
        <v>0</v>
      </c>
      <c r="M4" s="2">
        <f t="shared" si="1"/>
        <v>0.83679999999999999</v>
      </c>
      <c r="N4" s="2" t="e">
        <f>(E4/(E4+H4))</f>
        <v>#DIV/0!</v>
      </c>
      <c r="O4" s="5"/>
    </row>
    <row r="5" spans="1:15" ht="15">
      <c r="A5" s="3" t="s">
        <v>17</v>
      </c>
      <c r="B5" s="4" t="s">
        <v>18</v>
      </c>
      <c r="C5" s="2">
        <v>2025</v>
      </c>
      <c r="D5" s="2" t="s">
        <v>70</v>
      </c>
      <c r="E5" s="2">
        <v>0</v>
      </c>
      <c r="F5" s="2">
        <v>8195</v>
      </c>
      <c r="G5" s="2">
        <v>1805</v>
      </c>
      <c r="H5" s="2">
        <v>0</v>
      </c>
      <c r="I5" s="2">
        <f t="shared" si="0"/>
        <v>10000</v>
      </c>
      <c r="J5" s="2">
        <v>0</v>
      </c>
      <c r="K5" s="2">
        <v>10000</v>
      </c>
      <c r="L5" s="2">
        <f>E5/(E5+G5)</f>
        <v>0</v>
      </c>
      <c r="M5" s="2">
        <f t="shared" si="1"/>
        <v>0.81950000000000001</v>
      </c>
      <c r="N5" s="2" t="e">
        <f>(E5/(E5+H5))</f>
        <v>#DIV/0!</v>
      </c>
      <c r="O5" s="5"/>
    </row>
    <row r="6" spans="1:15" ht="15">
      <c r="A6" s="3" t="s">
        <v>19</v>
      </c>
      <c r="B6" s="4" t="s">
        <v>20</v>
      </c>
      <c r="C6" s="2">
        <v>2022</v>
      </c>
      <c r="D6" s="2" t="s">
        <v>74</v>
      </c>
      <c r="E6" s="2">
        <v>4374</v>
      </c>
      <c r="F6" s="2">
        <v>4499</v>
      </c>
      <c r="G6" s="2">
        <v>501</v>
      </c>
      <c r="H6" s="2">
        <v>361</v>
      </c>
      <c r="I6" s="2">
        <f t="shared" si="0"/>
        <v>9735</v>
      </c>
      <c r="J6" s="2">
        <v>4735</v>
      </c>
      <c r="K6" s="2">
        <v>5000</v>
      </c>
      <c r="L6" s="2">
        <f>E6/(E6+G6)</f>
        <v>0.89723076923076928</v>
      </c>
      <c r="M6" s="2">
        <f t="shared" si="1"/>
        <v>0.91145351823317922</v>
      </c>
      <c r="N6" s="2">
        <f>(E6/(E6+H6))</f>
        <v>0.92375923970432949</v>
      </c>
      <c r="O6" s="5" t="s">
        <v>46</v>
      </c>
    </row>
    <row r="7" spans="1:15" ht="15">
      <c r="A7" s="3" t="s">
        <v>22</v>
      </c>
      <c r="B7" s="4" t="s">
        <v>23</v>
      </c>
      <c r="C7" s="2">
        <v>2023</v>
      </c>
      <c r="D7" s="2" t="s">
        <v>71</v>
      </c>
      <c r="E7" s="2">
        <v>56</v>
      </c>
      <c r="F7" s="2">
        <v>4769</v>
      </c>
      <c r="G7" s="2">
        <v>502</v>
      </c>
      <c r="H7" s="2">
        <v>4208</v>
      </c>
      <c r="I7" s="2">
        <f t="shared" si="0"/>
        <v>9535</v>
      </c>
      <c r="J7" s="2">
        <v>4265</v>
      </c>
      <c r="K7" s="2">
        <v>5271</v>
      </c>
      <c r="L7" s="2">
        <f>E7/(E7+G7)</f>
        <v>0.1003584229390681</v>
      </c>
      <c r="M7" s="2">
        <f t="shared" si="1"/>
        <v>0.50603041426324069</v>
      </c>
      <c r="N7" s="2">
        <f>(E7/(E7+H7))</f>
        <v>1.3133208255159476E-2</v>
      </c>
      <c r="O7" s="5" t="s">
        <v>50</v>
      </c>
    </row>
    <row r="8" spans="1:15" ht="15">
      <c r="A8" s="3" t="s">
        <v>24</v>
      </c>
      <c r="B8" s="4" t="s">
        <v>25</v>
      </c>
      <c r="C8" s="2">
        <v>2024</v>
      </c>
      <c r="D8" s="2" t="s">
        <v>73</v>
      </c>
      <c r="E8" s="2">
        <v>2120</v>
      </c>
      <c r="F8" s="2">
        <v>4474</v>
      </c>
      <c r="G8" s="2">
        <v>526</v>
      </c>
      <c r="H8" s="2">
        <v>2410</v>
      </c>
      <c r="I8" s="2">
        <f t="shared" si="0"/>
        <v>9530</v>
      </c>
      <c r="J8" s="2">
        <v>4530</v>
      </c>
      <c r="K8" s="2">
        <v>5000</v>
      </c>
      <c r="L8" s="2">
        <f>E8/(E8+G8)</f>
        <v>0.80120937263794412</v>
      </c>
      <c r="M8" s="2">
        <f t="shared" si="1"/>
        <v>0.69192025183630645</v>
      </c>
      <c r="N8" s="2">
        <f>(E8/(E8+H8))</f>
        <v>0.46799116997792495</v>
      </c>
      <c r="O8" s="5" t="s">
        <v>52</v>
      </c>
    </row>
    <row r="9" spans="1:15" ht="15">
      <c r="A9" s="3" t="s">
        <v>27</v>
      </c>
      <c r="B9" s="4" t="s">
        <v>28</v>
      </c>
      <c r="C9" s="2">
        <v>2025</v>
      </c>
      <c r="D9" s="2" t="s">
        <v>72</v>
      </c>
      <c r="E9" s="2">
        <v>2418</v>
      </c>
      <c r="F9" s="2">
        <v>4458</v>
      </c>
      <c r="G9" s="2">
        <v>542</v>
      </c>
      <c r="H9" s="2">
        <v>2375</v>
      </c>
      <c r="I9" s="2">
        <f t="shared" si="0"/>
        <v>9793</v>
      </c>
      <c r="J9" s="2">
        <v>4793</v>
      </c>
      <c r="K9" s="2">
        <v>5000</v>
      </c>
      <c r="L9" s="2">
        <f>E9/(E9+G9)</f>
        <v>0.81689189189189193</v>
      </c>
      <c r="M9" s="2">
        <f t="shared" si="1"/>
        <v>0.70213417747370566</v>
      </c>
      <c r="N9" s="2">
        <f>(E9/(E9+H9))</f>
        <v>0.50448570832464013</v>
      </c>
      <c r="O9" s="5" t="s">
        <v>54</v>
      </c>
    </row>
    <row r="11" spans="1:15" ht="15">
      <c r="B11" s="3" t="s">
        <v>47</v>
      </c>
    </row>
    <row r="12" spans="1:15" ht="15">
      <c r="A12" s="3" t="s">
        <v>6</v>
      </c>
      <c r="B12" s="2" t="s">
        <v>34</v>
      </c>
      <c r="C12" s="2" t="s">
        <v>62</v>
      </c>
    </row>
    <row r="13" spans="1:15" ht="15">
      <c r="A13" s="3" t="s">
        <v>7</v>
      </c>
      <c r="B13" s="2" t="s">
        <v>35</v>
      </c>
      <c r="C13" s="2" t="s">
        <v>65</v>
      </c>
    </row>
    <row r="14" spans="1:15" ht="15">
      <c r="A14" s="3" t="s">
        <v>8</v>
      </c>
      <c r="B14" s="2" t="s">
        <v>36</v>
      </c>
      <c r="C14" s="2" t="s">
        <v>64</v>
      </c>
    </row>
    <row r="15" spans="1:15" ht="15">
      <c r="A15" s="3" t="s">
        <v>9</v>
      </c>
      <c r="B15" s="2" t="s">
        <v>37</v>
      </c>
      <c r="C15" s="2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DABA9-80D5-4AAA-BFEC-86C31C8343B5}">
  <dimension ref="A1:O15"/>
  <sheetViews>
    <sheetView workbookViewId="0">
      <selection activeCell="N10" sqref="N10"/>
    </sheetView>
  </sheetViews>
  <sheetFormatPr defaultRowHeight="14.25"/>
  <cols>
    <col min="1" max="1" width="14.5" style="2" bestFit="1" customWidth="1"/>
    <col min="2" max="2" width="24.875" style="2" bestFit="1" customWidth="1"/>
    <col min="3" max="3" width="15.375" style="2" bestFit="1" customWidth="1"/>
    <col min="4" max="4" width="47.625" style="2" bestFit="1" customWidth="1"/>
    <col min="5" max="11" width="9" style="2"/>
    <col min="12" max="12" width="19" style="2" customWidth="1"/>
    <col min="13" max="13" width="9" style="2"/>
    <col min="14" max="14" width="11.875" style="2" bestFit="1" customWidth="1"/>
    <col min="15" max="16384" width="9" style="2"/>
  </cols>
  <sheetData>
    <row r="1" spans="1:15" ht="15">
      <c r="A1" s="1" t="s">
        <v>1</v>
      </c>
      <c r="B1" s="1" t="s">
        <v>2</v>
      </c>
      <c r="C1" s="1" t="s">
        <v>3</v>
      </c>
      <c r="D1" s="1" t="s">
        <v>66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59</v>
      </c>
      <c r="K1" s="1" t="s">
        <v>60</v>
      </c>
      <c r="L1" s="1" t="s">
        <v>61</v>
      </c>
      <c r="M1" s="1" t="s">
        <v>57</v>
      </c>
      <c r="N1" s="1" t="s">
        <v>58</v>
      </c>
      <c r="O1" s="1" t="s">
        <v>11</v>
      </c>
    </row>
    <row r="2" spans="1:15" ht="15">
      <c r="A2" s="3" t="s">
        <v>12</v>
      </c>
      <c r="B2" s="4" t="s">
        <v>0</v>
      </c>
      <c r="C2" s="2">
        <v>2017</v>
      </c>
      <c r="D2" s="2" t="s">
        <v>67</v>
      </c>
      <c r="E2" s="2">
        <v>0</v>
      </c>
      <c r="F2" s="2">
        <v>9868</v>
      </c>
      <c r="G2" s="2">
        <v>132</v>
      </c>
      <c r="H2" s="2">
        <v>0</v>
      </c>
      <c r="I2" s="2">
        <f t="shared" ref="I2:I9" si="0">SUM(E2:H2)</f>
        <v>10000</v>
      </c>
      <c r="J2" s="2">
        <v>0</v>
      </c>
      <c r="K2" s="2">
        <v>10000</v>
      </c>
      <c r="L2" s="2">
        <f>E2/(E2+G2)</f>
        <v>0</v>
      </c>
      <c r="M2" s="2">
        <f t="shared" ref="M2:M9" si="1">(E2+F2)/(I2)</f>
        <v>0.98680000000000001</v>
      </c>
      <c r="N2" s="2" t="e">
        <f>(E2/(E2+H2))</f>
        <v>#DIV/0!</v>
      </c>
      <c r="O2" s="5"/>
    </row>
    <row r="3" spans="1:15" ht="15">
      <c r="A3" s="3" t="s">
        <v>13</v>
      </c>
      <c r="B3" s="4" t="s">
        <v>14</v>
      </c>
      <c r="C3" s="2">
        <v>2025</v>
      </c>
      <c r="D3" s="2" t="s">
        <v>68</v>
      </c>
      <c r="E3" s="2">
        <v>0</v>
      </c>
      <c r="F3" s="2">
        <v>9246</v>
      </c>
      <c r="G3" s="2">
        <v>738</v>
      </c>
      <c r="H3" s="2">
        <v>0</v>
      </c>
      <c r="I3" s="2">
        <f t="shared" si="0"/>
        <v>9984</v>
      </c>
      <c r="J3" s="2">
        <v>0</v>
      </c>
      <c r="K3" s="2">
        <v>10000</v>
      </c>
      <c r="L3" s="2">
        <f>E3/(E3+G3)</f>
        <v>0</v>
      </c>
      <c r="M3" s="2">
        <f t="shared" si="1"/>
        <v>0.92608173076923073</v>
      </c>
      <c r="N3" s="2" t="e">
        <f>(E3/(E3+H3))</f>
        <v>#DIV/0!</v>
      </c>
      <c r="O3" s="5" t="s">
        <v>51</v>
      </c>
    </row>
    <row r="4" spans="1:15" ht="15">
      <c r="A4" s="3" t="s">
        <v>15</v>
      </c>
      <c r="B4" s="4" t="s">
        <v>16</v>
      </c>
      <c r="C4" s="2">
        <v>2025</v>
      </c>
      <c r="D4" s="2" t="s">
        <v>69</v>
      </c>
      <c r="E4" s="2">
        <v>0</v>
      </c>
      <c r="F4" s="2">
        <v>9831</v>
      </c>
      <c r="G4" s="2">
        <v>169</v>
      </c>
      <c r="H4" s="2">
        <v>0</v>
      </c>
      <c r="I4" s="2">
        <f t="shared" si="0"/>
        <v>10000</v>
      </c>
      <c r="J4" s="2">
        <v>0</v>
      </c>
      <c r="K4" s="2">
        <v>10000</v>
      </c>
      <c r="L4" s="2">
        <f>E4/(E4+G4)</f>
        <v>0</v>
      </c>
      <c r="M4" s="2">
        <f t="shared" si="1"/>
        <v>0.98309999999999997</v>
      </c>
      <c r="N4" s="2" t="e">
        <f>(E4/(E4+H4))</f>
        <v>#DIV/0!</v>
      </c>
      <c r="O4" s="5"/>
    </row>
    <row r="5" spans="1:15" ht="15">
      <c r="A5" s="3" t="s">
        <v>17</v>
      </c>
      <c r="B5" s="4" t="s">
        <v>18</v>
      </c>
      <c r="C5" s="2">
        <v>2025</v>
      </c>
      <c r="D5" s="2" t="s">
        <v>70</v>
      </c>
      <c r="E5" s="2">
        <v>0</v>
      </c>
      <c r="F5" s="2">
        <v>9813</v>
      </c>
      <c r="G5" s="2">
        <v>187</v>
      </c>
      <c r="H5" s="2">
        <v>0</v>
      </c>
      <c r="I5" s="2">
        <f t="shared" si="0"/>
        <v>10000</v>
      </c>
      <c r="J5" s="2">
        <v>0</v>
      </c>
      <c r="K5" s="2">
        <v>10000</v>
      </c>
      <c r="L5" s="2">
        <f>E5/(E5+G5)</f>
        <v>0</v>
      </c>
      <c r="M5" s="2">
        <f t="shared" si="1"/>
        <v>0.98129999999999995</v>
      </c>
      <c r="N5" s="2" t="e">
        <f>(E5/(E5+H5))</f>
        <v>#DIV/0!</v>
      </c>
      <c r="O5" s="5"/>
    </row>
    <row r="6" spans="1:15" ht="15">
      <c r="A6" s="3" t="s">
        <v>19</v>
      </c>
      <c r="B6" s="4" t="s">
        <v>20</v>
      </c>
      <c r="C6" s="2">
        <v>2022</v>
      </c>
      <c r="D6" s="2" t="s">
        <v>74</v>
      </c>
      <c r="E6" s="2">
        <v>4</v>
      </c>
      <c r="F6" s="2">
        <v>4938</v>
      </c>
      <c r="G6" s="2">
        <v>62</v>
      </c>
      <c r="H6" s="2">
        <v>4731</v>
      </c>
      <c r="I6" s="2">
        <f t="shared" si="0"/>
        <v>9735</v>
      </c>
      <c r="J6" s="2">
        <v>4735</v>
      </c>
      <c r="K6" s="2">
        <v>5000</v>
      </c>
      <c r="L6" s="2">
        <f>E6/(E6+G6)</f>
        <v>6.0606060606060608E-2</v>
      </c>
      <c r="M6" s="2">
        <f t="shared" si="1"/>
        <v>0.50765279917822292</v>
      </c>
      <c r="N6" s="2">
        <f>(E6/(E6+H6))</f>
        <v>8.447729672650475E-4</v>
      </c>
      <c r="O6" s="5" t="s">
        <v>46</v>
      </c>
    </row>
    <row r="7" spans="1:15" ht="15">
      <c r="A7" s="3" t="s">
        <v>22</v>
      </c>
      <c r="B7" s="4" t="s">
        <v>23</v>
      </c>
      <c r="C7" s="2">
        <v>2023</v>
      </c>
      <c r="D7" s="2" t="s">
        <v>71</v>
      </c>
      <c r="E7" s="2">
        <v>15</v>
      </c>
      <c r="F7" s="2">
        <v>5211</v>
      </c>
      <c r="G7" s="2">
        <v>60</v>
      </c>
      <c r="H7" s="2">
        <v>4249</v>
      </c>
      <c r="I7" s="2">
        <f t="shared" si="0"/>
        <v>9535</v>
      </c>
      <c r="J7" s="2">
        <v>4265</v>
      </c>
      <c r="K7" s="2">
        <v>5271</v>
      </c>
      <c r="L7" s="2">
        <f>E7/(E7+G7)</f>
        <v>0.2</v>
      </c>
      <c r="M7" s="2">
        <f t="shared" si="1"/>
        <v>0.54808599895123233</v>
      </c>
      <c r="N7" s="2">
        <f>(E7/(E7+H7))</f>
        <v>3.5178236397748592E-3</v>
      </c>
      <c r="O7" s="5" t="s">
        <v>50</v>
      </c>
    </row>
    <row r="8" spans="1:15" ht="15">
      <c r="A8" s="3" t="s">
        <v>24</v>
      </c>
      <c r="B8" s="4" t="s">
        <v>25</v>
      </c>
      <c r="C8" s="2">
        <v>2024</v>
      </c>
      <c r="D8" s="2" t="s">
        <v>73</v>
      </c>
      <c r="E8" s="2">
        <v>442</v>
      </c>
      <c r="F8" s="2">
        <v>4940</v>
      </c>
      <c r="G8" s="2">
        <v>60</v>
      </c>
      <c r="H8" s="2">
        <v>4088</v>
      </c>
      <c r="I8" s="2">
        <f t="shared" si="0"/>
        <v>9530</v>
      </c>
      <c r="J8" s="2">
        <v>4530</v>
      </c>
      <c r="K8" s="2">
        <v>5000</v>
      </c>
      <c r="L8" s="2">
        <f>E8/(E8+G8)</f>
        <v>0.88047808764940239</v>
      </c>
      <c r="M8" s="2">
        <f t="shared" si="1"/>
        <v>0.56474291710388247</v>
      </c>
      <c r="N8" s="2">
        <f>(E8/(E8+H8))</f>
        <v>9.7571743929359828E-2</v>
      </c>
      <c r="O8" s="5" t="s">
        <v>52</v>
      </c>
    </row>
    <row r="9" spans="1:15" ht="15">
      <c r="A9" s="3" t="s">
        <v>27</v>
      </c>
      <c r="B9" s="4" t="s">
        <v>28</v>
      </c>
      <c r="C9" s="2">
        <v>2025</v>
      </c>
      <c r="D9" s="2" t="s">
        <v>72</v>
      </c>
      <c r="E9" s="2">
        <v>330</v>
      </c>
      <c r="F9" s="2">
        <v>4934</v>
      </c>
      <c r="G9" s="2">
        <v>66</v>
      </c>
      <c r="H9" s="2">
        <v>4463</v>
      </c>
      <c r="I9" s="2">
        <f t="shared" si="0"/>
        <v>9793</v>
      </c>
      <c r="J9" s="2">
        <v>4793</v>
      </c>
      <c r="K9" s="2">
        <v>5000</v>
      </c>
      <c r="L9" s="2">
        <f>E9/(E9+G9)</f>
        <v>0.83333333333333337</v>
      </c>
      <c r="M9" s="2">
        <f t="shared" si="1"/>
        <v>0.53752680486061477</v>
      </c>
      <c r="N9" s="2">
        <f>(E9/(E9+H9))</f>
        <v>6.8850406843313158E-2</v>
      </c>
      <c r="O9" s="5" t="s">
        <v>54</v>
      </c>
    </row>
    <row r="11" spans="1:15" ht="15">
      <c r="B11" s="3" t="s">
        <v>47</v>
      </c>
    </row>
    <row r="12" spans="1:15" ht="15">
      <c r="A12" s="3" t="s">
        <v>6</v>
      </c>
      <c r="B12" s="2" t="s">
        <v>38</v>
      </c>
      <c r="C12" s="2" t="s">
        <v>62</v>
      </c>
    </row>
    <row r="13" spans="1:15" ht="15">
      <c r="A13" s="3" t="s">
        <v>7</v>
      </c>
      <c r="B13" s="2" t="s">
        <v>40</v>
      </c>
      <c r="C13" s="2" t="s">
        <v>65</v>
      </c>
    </row>
    <row r="14" spans="1:15" ht="15">
      <c r="A14" s="3" t="s">
        <v>8</v>
      </c>
      <c r="B14" s="2" t="s">
        <v>39</v>
      </c>
      <c r="C14" s="2" t="s">
        <v>64</v>
      </c>
    </row>
    <row r="15" spans="1:15" ht="15">
      <c r="A15" s="3" t="s">
        <v>9</v>
      </c>
      <c r="B15" s="2" t="s">
        <v>41</v>
      </c>
      <c r="C15" s="2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2A5F3-9777-4AA2-9811-B68D672B2AEB}">
  <dimension ref="A1:O16"/>
  <sheetViews>
    <sheetView workbookViewId="0">
      <selection activeCell="E14" sqref="E14"/>
    </sheetView>
  </sheetViews>
  <sheetFormatPr defaultRowHeight="14.25"/>
  <cols>
    <col min="1" max="1" width="14.5" style="2" bestFit="1" customWidth="1"/>
    <col min="2" max="2" width="42.625" style="2" bestFit="1" customWidth="1"/>
    <col min="3" max="3" width="15.375" style="2" bestFit="1" customWidth="1"/>
    <col min="4" max="4" width="15.375" style="2" customWidth="1"/>
    <col min="5" max="11" width="9" style="2"/>
    <col min="12" max="12" width="19" style="2" customWidth="1"/>
    <col min="13" max="13" width="9" style="2"/>
    <col min="14" max="14" width="11.5" style="2" bestFit="1" customWidth="1"/>
    <col min="15" max="16384" width="9" style="2"/>
  </cols>
  <sheetData>
    <row r="1" spans="1:15" ht="15">
      <c r="A1" s="1" t="s">
        <v>1</v>
      </c>
      <c r="B1" s="1" t="s">
        <v>2</v>
      </c>
      <c r="C1" s="1" t="s">
        <v>3</v>
      </c>
      <c r="D1" s="1" t="s">
        <v>66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59</v>
      </c>
      <c r="K1" s="1" t="s">
        <v>60</v>
      </c>
      <c r="L1" s="1" t="s">
        <v>61</v>
      </c>
      <c r="M1" s="1" t="s">
        <v>57</v>
      </c>
      <c r="N1" s="1" t="s">
        <v>58</v>
      </c>
      <c r="O1" s="1" t="s">
        <v>11</v>
      </c>
    </row>
    <row r="2" spans="1:15" ht="15">
      <c r="A2" s="3" t="s">
        <v>12</v>
      </c>
      <c r="B2" s="4" t="s">
        <v>0</v>
      </c>
      <c r="C2" s="2">
        <v>2017</v>
      </c>
      <c r="D2" s="2" t="s">
        <v>67</v>
      </c>
      <c r="E2" s="2">
        <v>0</v>
      </c>
      <c r="F2" s="2">
        <v>9591</v>
      </c>
      <c r="G2" s="2">
        <v>409</v>
      </c>
      <c r="H2" s="2">
        <v>0</v>
      </c>
      <c r="I2" s="2">
        <f t="shared" ref="I2:I9" si="0">SUM(E2:H2)</f>
        <v>10000</v>
      </c>
      <c r="J2" s="2">
        <v>0</v>
      </c>
      <c r="K2" s="2">
        <v>10000</v>
      </c>
      <c r="L2" s="2">
        <f>E2/(E2+G2)</f>
        <v>0</v>
      </c>
      <c r="M2" s="2">
        <f t="shared" ref="M2:M9" si="1">(E2+F2)/(I2)</f>
        <v>0.95909999999999995</v>
      </c>
      <c r="N2" s="2" t="e">
        <f>(E2/(E2+H2))</f>
        <v>#DIV/0!</v>
      </c>
      <c r="O2" s="5"/>
    </row>
    <row r="3" spans="1:15" ht="15">
      <c r="A3" s="3" t="s">
        <v>13</v>
      </c>
      <c r="B3" s="4" t="s">
        <v>14</v>
      </c>
      <c r="C3" s="2">
        <v>2025</v>
      </c>
      <c r="D3" s="2" t="s">
        <v>68</v>
      </c>
      <c r="E3" s="2">
        <v>0</v>
      </c>
      <c r="F3" s="2">
        <v>9476</v>
      </c>
      <c r="G3" s="2">
        <v>508</v>
      </c>
      <c r="H3" s="2">
        <v>0</v>
      </c>
      <c r="I3" s="2">
        <f t="shared" si="0"/>
        <v>9984</v>
      </c>
      <c r="J3" s="2">
        <v>0</v>
      </c>
      <c r="K3" s="2">
        <v>10000</v>
      </c>
      <c r="L3" s="2">
        <f>E3/(E3+G3)</f>
        <v>0</v>
      </c>
      <c r="M3" s="2">
        <f t="shared" si="1"/>
        <v>0.94911858974358976</v>
      </c>
      <c r="N3" s="2" t="e">
        <f>(E3/(E3+H3))</f>
        <v>#DIV/0!</v>
      </c>
      <c r="O3" s="5" t="s">
        <v>51</v>
      </c>
    </row>
    <row r="4" spans="1:15" ht="15">
      <c r="A4" s="3" t="s">
        <v>15</v>
      </c>
      <c r="B4" s="4" t="s">
        <v>16</v>
      </c>
      <c r="C4" s="2">
        <v>2025</v>
      </c>
      <c r="D4" s="2" t="s">
        <v>69</v>
      </c>
      <c r="E4" s="2">
        <v>0</v>
      </c>
      <c r="F4" s="2">
        <v>9248</v>
      </c>
      <c r="G4" s="2">
        <v>752</v>
      </c>
      <c r="H4" s="2">
        <v>0</v>
      </c>
      <c r="I4" s="2">
        <f t="shared" si="0"/>
        <v>10000</v>
      </c>
      <c r="J4" s="2">
        <v>0</v>
      </c>
      <c r="K4" s="2">
        <v>10000</v>
      </c>
      <c r="L4" s="2">
        <f>E4/(E4+G4)</f>
        <v>0</v>
      </c>
      <c r="M4" s="2">
        <f t="shared" si="1"/>
        <v>0.92479999999999996</v>
      </c>
      <c r="N4" s="2" t="e">
        <f>(E4/(E4+H4))</f>
        <v>#DIV/0!</v>
      </c>
      <c r="O4" s="5"/>
    </row>
    <row r="5" spans="1:15" ht="15">
      <c r="A5" s="3" t="s">
        <v>17</v>
      </c>
      <c r="B5" s="4" t="s">
        <v>18</v>
      </c>
      <c r="C5" s="2">
        <v>2025</v>
      </c>
      <c r="D5" s="2" t="s">
        <v>70</v>
      </c>
      <c r="E5" s="2">
        <v>0</v>
      </c>
      <c r="F5" s="2">
        <v>8894</v>
      </c>
      <c r="G5" s="2">
        <v>1106</v>
      </c>
      <c r="H5" s="2">
        <v>0</v>
      </c>
      <c r="I5" s="2">
        <f t="shared" si="0"/>
        <v>10000</v>
      </c>
      <c r="J5" s="2">
        <v>0</v>
      </c>
      <c r="K5" s="2">
        <v>10000</v>
      </c>
      <c r="L5" s="2">
        <f>E5/(E5+G5)</f>
        <v>0</v>
      </c>
      <c r="M5" s="2">
        <f t="shared" si="1"/>
        <v>0.88939999999999997</v>
      </c>
      <c r="N5" s="2" t="e">
        <f>(E5/(E5+H5))</f>
        <v>#DIV/0!</v>
      </c>
      <c r="O5" s="5"/>
    </row>
    <row r="6" spans="1:15" ht="15">
      <c r="A6" s="3" t="s">
        <v>19</v>
      </c>
      <c r="B6" s="4" t="s">
        <v>20</v>
      </c>
      <c r="C6" s="2">
        <v>2022</v>
      </c>
      <c r="D6" s="2" t="s">
        <v>74</v>
      </c>
      <c r="E6" s="2">
        <v>4299</v>
      </c>
      <c r="F6" s="2">
        <v>4802</v>
      </c>
      <c r="G6" s="2">
        <v>198</v>
      </c>
      <c r="H6" s="2">
        <v>436</v>
      </c>
      <c r="I6" s="2">
        <f t="shared" si="0"/>
        <v>9735</v>
      </c>
      <c r="J6" s="2">
        <v>4735</v>
      </c>
      <c r="K6" s="2">
        <v>5000</v>
      </c>
      <c r="L6" s="2">
        <f>E6/(E6+G6)</f>
        <v>0.95597064709806534</v>
      </c>
      <c r="M6" s="2">
        <f t="shared" si="1"/>
        <v>0.93487416538264001</v>
      </c>
      <c r="N6" s="2">
        <f>(E6/(E6+H6))</f>
        <v>0.90791974656810981</v>
      </c>
      <c r="O6" s="5" t="s">
        <v>46</v>
      </c>
    </row>
    <row r="7" spans="1:15" ht="15">
      <c r="A7" s="3" t="s">
        <v>22</v>
      </c>
      <c r="B7" s="4" t="s">
        <v>23</v>
      </c>
      <c r="C7" s="2">
        <v>2023</v>
      </c>
      <c r="D7" s="2" t="s">
        <v>71</v>
      </c>
      <c r="E7" s="2">
        <v>199</v>
      </c>
      <c r="F7" s="2">
        <v>5076</v>
      </c>
      <c r="G7" s="2">
        <v>195</v>
      </c>
      <c r="H7" s="2">
        <v>4065</v>
      </c>
      <c r="I7" s="2">
        <f t="shared" si="0"/>
        <v>9535</v>
      </c>
      <c r="J7" s="2">
        <v>4265</v>
      </c>
      <c r="K7" s="2">
        <v>5271</v>
      </c>
      <c r="L7" s="2">
        <f>E7/(E7+G7)</f>
        <v>0.50507614213197971</v>
      </c>
      <c r="M7" s="2">
        <f t="shared" si="1"/>
        <v>0.5532249606712113</v>
      </c>
      <c r="N7" s="2">
        <f>(E7/(E7+H7))</f>
        <v>4.6669793621013131E-2</v>
      </c>
      <c r="O7" s="5" t="s">
        <v>53</v>
      </c>
    </row>
    <row r="8" spans="1:15" ht="15">
      <c r="A8" s="3" t="s">
        <v>24</v>
      </c>
      <c r="B8" s="4" t="s">
        <v>25</v>
      </c>
      <c r="C8" s="2">
        <v>2024</v>
      </c>
      <c r="D8" s="2" t="s">
        <v>73</v>
      </c>
      <c r="E8" s="2">
        <v>108</v>
      </c>
      <c r="F8" s="2">
        <v>4832</v>
      </c>
      <c r="G8" s="2">
        <v>168</v>
      </c>
      <c r="H8" s="2">
        <v>4422</v>
      </c>
      <c r="I8" s="2">
        <f t="shared" si="0"/>
        <v>9530</v>
      </c>
      <c r="J8" s="2">
        <v>4530</v>
      </c>
      <c r="K8" s="2">
        <v>5000</v>
      </c>
      <c r="L8" s="2">
        <f>E8/(E8+G8)</f>
        <v>0.39130434782608697</v>
      </c>
      <c r="M8" s="2">
        <f t="shared" si="1"/>
        <v>0.51836306400839449</v>
      </c>
      <c r="N8" s="2">
        <f>(E8/(E8+H8))</f>
        <v>2.3841059602649008E-2</v>
      </c>
      <c r="O8" s="5" t="s">
        <v>56</v>
      </c>
    </row>
    <row r="9" spans="1:15" ht="15">
      <c r="A9" s="3" t="s">
        <v>27</v>
      </c>
      <c r="B9" s="4" t="s">
        <v>28</v>
      </c>
      <c r="C9" s="2">
        <v>2025</v>
      </c>
      <c r="D9" s="2" t="s">
        <v>72</v>
      </c>
      <c r="E9" s="2">
        <v>103</v>
      </c>
      <c r="F9" s="2">
        <v>4794</v>
      </c>
      <c r="G9" s="2">
        <v>206</v>
      </c>
      <c r="H9" s="2">
        <v>4690</v>
      </c>
      <c r="I9" s="2">
        <f t="shared" si="0"/>
        <v>9793</v>
      </c>
      <c r="J9" s="2">
        <v>4793</v>
      </c>
      <c r="K9" s="2">
        <v>5000</v>
      </c>
      <c r="L9" s="2">
        <f>E9/(E9+G9)</f>
        <v>0.33333333333333331</v>
      </c>
      <c r="M9" s="2">
        <f t="shared" si="1"/>
        <v>0.5000510568773614</v>
      </c>
      <c r="N9" s="2">
        <f>(E9/(E9+H9))</f>
        <v>2.1489672438973505E-2</v>
      </c>
      <c r="O9" s="5" t="s">
        <v>55</v>
      </c>
    </row>
    <row r="11" spans="1:15" ht="15">
      <c r="B11" s="3" t="s">
        <v>48</v>
      </c>
    </row>
    <row r="12" spans="1:15" ht="15">
      <c r="A12" s="3" t="s">
        <v>6</v>
      </c>
      <c r="B12" s="2" t="s">
        <v>42</v>
      </c>
      <c r="C12" s="2" t="s">
        <v>62</v>
      </c>
    </row>
    <row r="13" spans="1:15" ht="15">
      <c r="A13" s="3" t="s">
        <v>7</v>
      </c>
      <c r="B13" s="2" t="s">
        <v>44</v>
      </c>
      <c r="C13" s="2" t="s">
        <v>65</v>
      </c>
    </row>
    <row r="14" spans="1:15" ht="15">
      <c r="A14" s="3" t="s">
        <v>8</v>
      </c>
      <c r="B14" s="2" t="s">
        <v>43</v>
      </c>
      <c r="C14" s="2" t="s">
        <v>64</v>
      </c>
    </row>
    <row r="15" spans="1:15" ht="15">
      <c r="A15" s="3" t="s">
        <v>9</v>
      </c>
      <c r="B15" s="2" t="s">
        <v>45</v>
      </c>
      <c r="C15" s="2" t="s">
        <v>63</v>
      </c>
    </row>
    <row r="16" spans="1:15" ht="15">
      <c r="A16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7C5BF-0FAC-4CAF-9931-8CE2DA8FA4BE}">
  <dimension ref="A1:O15"/>
  <sheetViews>
    <sheetView workbookViewId="0">
      <selection activeCell="L9" sqref="L9"/>
    </sheetView>
  </sheetViews>
  <sheetFormatPr defaultRowHeight="14.25"/>
  <cols>
    <col min="1" max="1" width="14.5" style="2" bestFit="1" customWidth="1"/>
    <col min="2" max="2" width="40.75" style="2" bestFit="1" customWidth="1"/>
    <col min="3" max="3" width="15.375" style="2" bestFit="1" customWidth="1"/>
    <col min="4" max="4" width="15.375" style="2" customWidth="1"/>
    <col min="5" max="11" width="9" style="2"/>
    <col min="12" max="12" width="19" style="2" customWidth="1"/>
    <col min="13" max="13" width="9" style="2"/>
    <col min="14" max="14" width="11.875" style="2" bestFit="1" customWidth="1"/>
    <col min="15" max="16384" width="9" style="2"/>
  </cols>
  <sheetData>
    <row r="1" spans="1:15" ht="15">
      <c r="A1" s="1" t="s">
        <v>1</v>
      </c>
      <c r="B1" s="1" t="s">
        <v>2</v>
      </c>
      <c r="C1" s="1" t="s">
        <v>3</v>
      </c>
      <c r="D1" s="1" t="s">
        <v>66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59</v>
      </c>
      <c r="K1" s="1" t="s">
        <v>60</v>
      </c>
      <c r="L1" s="1" t="s">
        <v>61</v>
      </c>
      <c r="M1" s="1" t="s">
        <v>57</v>
      </c>
      <c r="N1" s="1" t="s">
        <v>58</v>
      </c>
      <c r="O1" s="1" t="s">
        <v>11</v>
      </c>
    </row>
    <row r="2" spans="1:15" ht="15">
      <c r="A2" s="3" t="s">
        <v>12</v>
      </c>
      <c r="B2" s="4" t="s">
        <v>0</v>
      </c>
      <c r="C2" s="2">
        <v>2017</v>
      </c>
      <c r="D2" s="2" t="s">
        <v>67</v>
      </c>
      <c r="E2" s="2">
        <v>0</v>
      </c>
      <c r="F2" s="2">
        <v>9591</v>
      </c>
      <c r="G2" s="2">
        <v>409</v>
      </c>
      <c r="H2" s="2">
        <v>0</v>
      </c>
      <c r="I2" s="2">
        <f t="shared" ref="I2:I9" si="0">SUM(E2:H2)</f>
        <v>10000</v>
      </c>
      <c r="J2" s="2">
        <v>0</v>
      </c>
      <c r="K2" s="2">
        <v>10000</v>
      </c>
      <c r="L2" s="2">
        <f>E2/(E2+G2)</f>
        <v>0</v>
      </c>
      <c r="M2" s="2">
        <f t="shared" ref="M2:M9" si="1">(E2+F2)/(I2)</f>
        <v>0.95909999999999995</v>
      </c>
      <c r="N2" s="2" t="e">
        <f>(E2/(E2+H2))</f>
        <v>#DIV/0!</v>
      </c>
      <c r="O2" s="5"/>
    </row>
    <row r="3" spans="1:15" ht="15">
      <c r="A3" s="3" t="s">
        <v>13</v>
      </c>
      <c r="B3" s="4" t="s">
        <v>14</v>
      </c>
      <c r="C3" s="2">
        <v>2025</v>
      </c>
      <c r="D3" s="2" t="s">
        <v>68</v>
      </c>
      <c r="E3" s="2">
        <v>0</v>
      </c>
      <c r="F3" s="2">
        <v>9153</v>
      </c>
      <c r="G3" s="2">
        <v>831</v>
      </c>
      <c r="H3" s="2">
        <v>0</v>
      </c>
      <c r="I3" s="2">
        <f t="shared" si="0"/>
        <v>9984</v>
      </c>
      <c r="J3" s="2">
        <v>0</v>
      </c>
      <c r="K3" s="2">
        <v>10000</v>
      </c>
      <c r="L3" s="2">
        <f>E3/(E3+G3)</f>
        <v>0</v>
      </c>
      <c r="M3" s="2">
        <f t="shared" si="1"/>
        <v>0.91676682692307687</v>
      </c>
      <c r="N3" s="2" t="e">
        <f>(E3/(E3+H3))</f>
        <v>#DIV/0!</v>
      </c>
      <c r="O3" s="5" t="s">
        <v>51</v>
      </c>
    </row>
    <row r="4" spans="1:15" ht="15">
      <c r="A4" s="3" t="s">
        <v>15</v>
      </c>
      <c r="B4" s="4" t="s">
        <v>16</v>
      </c>
      <c r="C4" s="2">
        <v>2025</v>
      </c>
      <c r="D4" s="2" t="s">
        <v>69</v>
      </c>
      <c r="E4" s="2">
        <v>0</v>
      </c>
      <c r="F4" s="2">
        <v>9248</v>
      </c>
      <c r="G4" s="2">
        <v>752</v>
      </c>
      <c r="H4" s="2">
        <v>0</v>
      </c>
      <c r="I4" s="2">
        <f t="shared" si="0"/>
        <v>10000</v>
      </c>
      <c r="J4" s="2">
        <v>0</v>
      </c>
      <c r="K4" s="2">
        <v>10000</v>
      </c>
      <c r="L4" s="2">
        <f>E4/(E4+G4)</f>
        <v>0</v>
      </c>
      <c r="M4" s="2">
        <f t="shared" si="1"/>
        <v>0.92479999999999996</v>
      </c>
      <c r="N4" s="2" t="e">
        <f>(E4/(E4+H4))</f>
        <v>#DIV/0!</v>
      </c>
      <c r="O4" s="5"/>
    </row>
    <row r="5" spans="1:15" ht="15">
      <c r="A5" s="3" t="s">
        <v>17</v>
      </c>
      <c r="B5" s="4" t="s">
        <v>18</v>
      </c>
      <c r="C5" s="2">
        <v>2025</v>
      </c>
      <c r="D5" s="2" t="s">
        <v>70</v>
      </c>
      <c r="E5" s="2">
        <v>0</v>
      </c>
      <c r="F5" s="2">
        <v>8894</v>
      </c>
      <c r="G5" s="2">
        <v>1106</v>
      </c>
      <c r="H5" s="2">
        <v>0</v>
      </c>
      <c r="I5" s="2">
        <f t="shared" si="0"/>
        <v>10000</v>
      </c>
      <c r="J5" s="2">
        <v>0</v>
      </c>
      <c r="K5" s="2">
        <v>10000</v>
      </c>
      <c r="L5" s="2">
        <f>E5/(E5+G5)</f>
        <v>0</v>
      </c>
      <c r="M5" s="2">
        <f t="shared" si="1"/>
        <v>0.88939999999999997</v>
      </c>
      <c r="N5" s="2" t="e">
        <f>(E5/(E5+H5))</f>
        <v>#DIV/0!</v>
      </c>
      <c r="O5" s="5"/>
    </row>
    <row r="6" spans="1:15" ht="15">
      <c r="A6" s="3" t="s">
        <v>19</v>
      </c>
      <c r="B6" s="4" t="s">
        <v>20</v>
      </c>
      <c r="C6" s="2">
        <v>2022</v>
      </c>
      <c r="D6" s="2" t="s">
        <v>74</v>
      </c>
      <c r="E6" s="2">
        <v>4299</v>
      </c>
      <c r="F6" s="2">
        <v>4802</v>
      </c>
      <c r="G6" s="2">
        <v>198</v>
      </c>
      <c r="H6" s="2">
        <v>436</v>
      </c>
      <c r="I6" s="2">
        <f t="shared" si="0"/>
        <v>9735</v>
      </c>
      <c r="J6" s="2">
        <v>4735</v>
      </c>
      <c r="K6" s="2">
        <v>5000</v>
      </c>
      <c r="L6" s="2">
        <f>E6/(E6+G6)</f>
        <v>0.95597064709806534</v>
      </c>
      <c r="M6" s="2">
        <f t="shared" si="1"/>
        <v>0.93487416538264001</v>
      </c>
      <c r="N6" s="2">
        <f>(E6/(E6+H6))</f>
        <v>0.90791974656810981</v>
      </c>
      <c r="O6" s="5" t="s">
        <v>46</v>
      </c>
    </row>
    <row r="7" spans="1:15" ht="15">
      <c r="A7" s="3" t="s">
        <v>22</v>
      </c>
      <c r="B7" s="4" t="s">
        <v>23</v>
      </c>
      <c r="C7" s="2">
        <v>2023</v>
      </c>
      <c r="D7" s="2" t="s">
        <v>71</v>
      </c>
      <c r="E7" s="2">
        <v>199</v>
      </c>
      <c r="F7" s="2">
        <v>5075</v>
      </c>
      <c r="G7" s="2">
        <v>196</v>
      </c>
      <c r="H7" s="2">
        <v>4065</v>
      </c>
      <c r="I7" s="2">
        <f t="shared" si="0"/>
        <v>9535</v>
      </c>
      <c r="J7" s="2">
        <v>4265</v>
      </c>
      <c r="K7" s="2">
        <v>5271</v>
      </c>
      <c r="L7" s="2">
        <f>E7/(E7+G7)</f>
        <v>0.5037974683544304</v>
      </c>
      <c r="M7" s="2">
        <f t="shared" si="1"/>
        <v>0.55312008390141587</v>
      </c>
      <c r="N7" s="2">
        <f>(E7/(E7+H7))</f>
        <v>4.6669793621013131E-2</v>
      </c>
      <c r="O7" s="5" t="s">
        <v>53</v>
      </c>
    </row>
    <row r="8" spans="1:15" ht="15">
      <c r="A8" s="3" t="s">
        <v>24</v>
      </c>
      <c r="B8" s="4" t="s">
        <v>25</v>
      </c>
      <c r="C8" s="2">
        <v>2024</v>
      </c>
      <c r="D8" s="2" t="s">
        <v>73</v>
      </c>
      <c r="E8" s="2">
        <v>108</v>
      </c>
      <c r="F8" s="2">
        <v>4830</v>
      </c>
      <c r="G8" s="2">
        <v>170</v>
      </c>
      <c r="H8" s="2">
        <v>4422</v>
      </c>
      <c r="I8" s="2">
        <f t="shared" si="0"/>
        <v>9530</v>
      </c>
      <c r="J8" s="2">
        <v>4530</v>
      </c>
      <c r="K8" s="2">
        <v>5000</v>
      </c>
      <c r="L8" s="2">
        <f>E8/(E8+G8)</f>
        <v>0.38848920863309355</v>
      </c>
      <c r="M8" s="2">
        <f t="shared" si="1"/>
        <v>0.51815320041972712</v>
      </c>
      <c r="N8" s="2">
        <f>(E8/(E8+H8))</f>
        <v>2.3841059602649008E-2</v>
      </c>
      <c r="O8" s="5" t="s">
        <v>56</v>
      </c>
    </row>
    <row r="9" spans="1:15" ht="15">
      <c r="A9" s="3" t="s">
        <v>27</v>
      </c>
      <c r="B9" s="4" t="s">
        <v>28</v>
      </c>
      <c r="C9" s="2">
        <v>2025</v>
      </c>
      <c r="D9" s="2" t="s">
        <v>72</v>
      </c>
      <c r="E9" s="2">
        <v>195</v>
      </c>
      <c r="F9" s="2">
        <v>4793</v>
      </c>
      <c r="G9" s="2">
        <v>207</v>
      </c>
      <c r="H9" s="2">
        <v>4598</v>
      </c>
      <c r="I9" s="2">
        <f t="shared" si="0"/>
        <v>9793</v>
      </c>
      <c r="J9" s="2">
        <v>4793</v>
      </c>
      <c r="K9" s="2">
        <v>5000</v>
      </c>
      <c r="L9" s="2">
        <f>E9/(E9+G9)</f>
        <v>0.48507462686567165</v>
      </c>
      <c r="M9" s="2">
        <f t="shared" si="1"/>
        <v>0.50934340855713267</v>
      </c>
      <c r="N9" s="2">
        <f>(E9/(E9+H9))</f>
        <v>4.0684331316503231E-2</v>
      </c>
      <c r="O9" s="5" t="s">
        <v>55</v>
      </c>
    </row>
    <row r="11" spans="1:15" ht="15">
      <c r="B11" s="3" t="s">
        <v>49</v>
      </c>
    </row>
    <row r="12" spans="1:15" ht="15">
      <c r="A12" s="3" t="s">
        <v>6</v>
      </c>
      <c r="B12" s="2" t="s">
        <v>34</v>
      </c>
      <c r="C12" s="2" t="s">
        <v>62</v>
      </c>
    </row>
    <row r="13" spans="1:15" ht="15">
      <c r="A13" s="3" t="s">
        <v>7</v>
      </c>
      <c r="B13" s="2" t="s">
        <v>35</v>
      </c>
      <c r="C13" s="2" t="s">
        <v>65</v>
      </c>
    </row>
    <row r="14" spans="1:15" ht="15">
      <c r="A14" s="3" t="s">
        <v>8</v>
      </c>
      <c r="B14" s="2" t="s">
        <v>36</v>
      </c>
      <c r="C14" s="2" t="s">
        <v>64</v>
      </c>
    </row>
    <row r="15" spans="1:15" ht="15">
      <c r="A15" s="3" t="s">
        <v>9</v>
      </c>
      <c r="B15" s="2" t="s">
        <v>37</v>
      </c>
      <c r="C15" s="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Shannon</vt:lpstr>
      <vt:lpstr>Exp0se_2015</vt:lpstr>
      <vt:lpstr>Mia_2018</vt:lpstr>
      <vt:lpstr>DGAD_2022 (Partial-Word)</vt:lpstr>
      <vt:lpstr>DGAD_2022 (Overall-Domain)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Dorian Wong</dc:creator>
  <cp:lastModifiedBy>Adam Dorian Wong</cp:lastModifiedBy>
  <dcterms:created xsi:type="dcterms:W3CDTF">2025-11-05T21:03:35Z</dcterms:created>
  <dcterms:modified xsi:type="dcterms:W3CDTF">2026-02-08T20:11:33Z</dcterms:modified>
</cp:coreProperties>
</file>